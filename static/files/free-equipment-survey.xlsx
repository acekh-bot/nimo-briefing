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용안내" sheetId="1" state="visible" r:id="rId1"/>
    <sheet xmlns:r="http://schemas.openxmlformats.org/officeDocument/2006/relationships" name="설비현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맑은 고딕"/>
      <b val="1"/>
      <color rgb="001C2529"/>
      <sz val="16"/>
    </font>
    <font>
      <name val="맑은 고딕"/>
      <color rgb="005B6B70"/>
      <sz val="9.5"/>
    </font>
    <font>
      <name val="맑은 고딕"/>
      <b val="1"/>
      <color rgb="00FFFFFF"/>
      <sz val="10"/>
    </font>
    <font>
      <name val="맑은 고딕"/>
      <color rgb="001C2529"/>
      <sz val="10"/>
    </font>
    <font>
      <name val="맑은 고딕"/>
      <b val="1"/>
      <color rgb="001C2529"/>
      <sz val="11"/>
    </font>
    <font>
      <name val="맑은 고딕"/>
      <color rgb="005B6B70"/>
      <sz val="9"/>
    </font>
    <font>
      <name val="맑은 고딕"/>
      <color rgb="002F8F5B"/>
      <sz val="9"/>
    </font>
    <font>
      <name val="맑은 고딕"/>
      <b val="1"/>
      <color rgb="001C2529"/>
      <sz val="15"/>
    </font>
    <font>
      <name val="맑은 고딕"/>
      <b val="1"/>
      <color rgb="002F8F5B"/>
      <sz val="11"/>
    </font>
    <font>
      <name val="맑은 고딕"/>
      <color rgb="001C2529"/>
      <sz val="11"/>
    </font>
  </fonts>
  <fills count="5">
    <fill>
      <patternFill/>
    </fill>
    <fill>
      <patternFill patternType="gray125"/>
    </fill>
    <fill>
      <patternFill patternType="solid">
        <fgColor rgb="001C2529"/>
      </patternFill>
    </fill>
    <fill>
      <patternFill patternType="solid">
        <fgColor rgb="00FFF7D6"/>
      </patternFill>
    </fill>
    <fill>
      <patternFill patternType="solid">
        <fgColor rgb="00E8F3EC"/>
      </patternFill>
    </fill>
  </fills>
  <borders count="2">
    <border>
      <left/>
      <right/>
      <top/>
      <bottom/>
      <diagonal/>
    </border>
    <border>
      <left style="thin">
        <color rgb="00C9D1CE"/>
      </left>
      <right style="thin">
        <color rgb="00C9D1CE"/>
      </right>
      <top style="thin">
        <color rgb="00C9D1CE"/>
      </top>
      <bottom style="thin">
        <color rgb="00C9D1C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4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사용안내</t>
        </is>
      </c>
    </row>
    <row r="3">
      <c r="A3" s="2" t="inlineStr">
        <is>
          <t>왜 필요한가</t>
        </is>
      </c>
    </row>
    <row r="4">
      <c r="A4" s="3" t="inlineStr">
        <is>
          <t>스마트공장 구축이나 설비 데이터 수집을 하려면, 어떤 설비가 어떤 컨트롤러와 통신 포트를 갖고 있는지부터 알아야 합니다. 이 표 한 장이면 공급기업 견적과 사업계획서의 '현황' 항목을 빠르게 채울 수 있습니다.</t>
        </is>
      </c>
    </row>
    <row r="5">
      <c r="A5" s="2" t="inlineStr">
        <is>
          <t>적는 법</t>
        </is>
      </c>
    </row>
    <row r="6">
      <c r="A6" s="3" t="inlineStr">
        <is>
          <t>· 컨트롤러: 설비 조작반 화면이나 명판에 표시됩니다 (예: FANUC 0i-MF, SIEMENS 828D, 미쓰비시 M80).</t>
        </is>
      </c>
    </row>
    <row r="7">
      <c r="A7" s="3" t="inlineStr">
        <is>
          <t>· 통신 포트: 조작반 옆·뒤의 LAN 포트나 RS-232(9핀) 포트를 확인하세요. 모르면 '없음/모름'으로 두세요.</t>
        </is>
      </c>
    </row>
    <row r="8">
      <c r="A8" s="3" t="inlineStr">
        <is>
          <t>· 현재 관리 방식: 생산 실적과 가동 현황을 지금 어떻게 기록하는지 고릅니다.</t>
        </is>
      </c>
    </row>
    <row r="9">
      <c r="A9" s="2" t="inlineStr">
        <is>
          <t>연동 가능 여부 확인</t>
        </is>
      </c>
    </row>
    <row r="10">
      <c r="A10" s="3" t="inlineStr">
        <is>
          <t>작성한 표를 briefing.nimo.ai.kr '신청 도움'에서 설비 모니터링(NIMO) 상담으로 보내 주시면 연동 가능 여부를 확인해 드립니다. 지원사업의 공급기업 선택은 신청 기업이 자유롭게 정합니다.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3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3" customWidth="1" min="3" max="3"/>
    <col width="12" customWidth="1" min="4" max="4"/>
    <col width="14" customWidth="1" min="5" max="5"/>
    <col width="16" customWidth="1" min="6" max="6"/>
    <col width="9" customWidth="1" min="7" max="7"/>
    <col width="13" customWidth="1" min="8" max="8"/>
    <col width="11" customWidth="1" min="9" max="9"/>
    <col width="10" customWidth="1" min="10" max="10"/>
    <col width="16" customWidth="1" min="11" max="11"/>
    <col width="16" customWidth="1" min="12" max="12"/>
    <col width="18" customWidth="1" min="13" max="13"/>
  </cols>
  <sheetData>
    <row r="1" ht="28" customHeight="1">
      <c r="A1" s="4" t="inlineStr">
        <is>
          <t>설비 현황 조사표</t>
        </is>
      </c>
    </row>
    <row r="2" ht="32" customHeight="1">
      <c r="A2" s="5" t="inlineStr">
        <is>
          <t>스마트공장 구축·설비 모니터링 연동을 검토할 때 공급기업과 운영기관이 가장 먼저 묻는 내용입니다. 설비 명판과 컨트롤러 화면을 보고 적으세요.</t>
        </is>
      </c>
    </row>
    <row r="4" ht="30" customHeight="1">
      <c r="A4" s="6" t="inlineStr">
        <is>
          <t>No</t>
        </is>
      </c>
      <c r="B4" s="6" t="inlineStr">
        <is>
          <t>설비명(사내 호칭)</t>
        </is>
      </c>
      <c r="C4" s="6" t="inlineStr">
        <is>
          <t>설비 종류</t>
        </is>
      </c>
      <c r="D4" s="6" t="inlineStr">
        <is>
          <t>제조사</t>
        </is>
      </c>
      <c r="E4" s="6" t="inlineStr">
        <is>
          <t>모델명</t>
        </is>
      </c>
      <c r="F4" s="6" t="inlineStr">
        <is>
          <t>컨트롤러</t>
        </is>
      </c>
      <c r="G4" s="6" t="inlineStr">
        <is>
          <t>도입 연도</t>
        </is>
      </c>
      <c r="H4" s="6" t="inlineStr">
        <is>
          <t>통신 포트</t>
        </is>
      </c>
      <c r="I4" s="6" t="inlineStr">
        <is>
          <t>네트워크</t>
        </is>
      </c>
      <c r="J4" s="6" t="inlineStr">
        <is>
          <t>교대 운영</t>
        </is>
      </c>
      <c r="K4" s="6" t="inlineStr">
        <is>
          <t>주요 생산품</t>
        </is>
      </c>
      <c r="L4" s="6" t="inlineStr">
        <is>
          <t>현재 관리 방식</t>
        </is>
      </c>
      <c r="M4" s="6" t="inlineStr">
        <is>
          <t>비고</t>
        </is>
      </c>
    </row>
    <row r="5">
      <c r="A5" s="7" t="n">
        <v>1</v>
      </c>
      <c r="B5" s="8" t="inlineStr">
        <is>
          <t>MCT #1</t>
        </is>
      </c>
      <c r="C5" s="8" t="inlineStr">
        <is>
          <t>MCT(머시닝센터)</t>
        </is>
      </c>
      <c r="D5" s="8" t="inlineStr">
        <is>
          <t>(예) 두산</t>
        </is>
      </c>
      <c r="E5" s="8" t="inlineStr">
        <is>
          <t>(예) DNM 5700</t>
        </is>
      </c>
      <c r="F5" s="8" t="inlineStr">
        <is>
          <t>(예) FANUC 0i-MF</t>
        </is>
      </c>
      <c r="G5" s="8" t="n">
        <v>2019</v>
      </c>
      <c r="H5" s="8" t="inlineStr">
        <is>
          <t>이더넷(LAN)</t>
        </is>
      </c>
      <c r="I5" s="8" t="inlineStr">
        <is>
          <t>유선 가능</t>
        </is>
      </c>
      <c r="J5" s="8" t="inlineStr">
        <is>
          <t>2교대</t>
        </is>
      </c>
      <c r="K5" s="8" t="inlineStr">
        <is>
          <t>금형 부품</t>
        </is>
      </c>
      <c r="L5" s="8" t="inlineStr">
        <is>
          <t>종이 일보</t>
        </is>
      </c>
      <c r="M5" s="8" t="inlineStr">
        <is>
          <t>(예시 행)</t>
        </is>
      </c>
    </row>
    <row r="6">
      <c r="A6" s="7" t="n">
        <v>2</v>
      </c>
      <c r="B6" s="8" t="inlineStr">
        <is>
          <t>선반 #2</t>
        </is>
      </c>
      <c r="C6" s="8" t="inlineStr">
        <is>
          <t>CNC 선반</t>
        </is>
      </c>
      <c r="D6" s="8" t="inlineStr">
        <is>
          <t>(예) 화천</t>
        </is>
      </c>
      <c r="E6" s="8" t="inlineStr">
        <is>
          <t>(예) Hi-TECH 230</t>
        </is>
      </c>
      <c r="F6" s="8" t="inlineStr">
        <is>
          <t>(예) FANUC 0i-TF</t>
        </is>
      </c>
      <c r="G6" s="8" t="n">
        <v>2016</v>
      </c>
      <c r="H6" s="8" t="inlineStr">
        <is>
          <t>RS-232</t>
        </is>
      </c>
      <c r="I6" s="8" t="inlineStr">
        <is>
          <t>무선만</t>
        </is>
      </c>
      <c r="J6" s="8" t="inlineStr">
        <is>
          <t>주간</t>
        </is>
      </c>
      <c r="K6" s="8" t="inlineStr">
        <is>
          <t>샤프트</t>
        </is>
      </c>
      <c r="L6" s="8" t="inlineStr">
        <is>
          <t>엑셀</t>
        </is>
      </c>
      <c r="M6" s="8" t="inlineStr">
        <is>
          <t>(예시 행)</t>
        </is>
      </c>
    </row>
    <row r="7">
      <c r="A7" s="7" t="n">
        <v>3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</row>
    <row r="8">
      <c r="A8" s="7" t="n">
        <v>4</v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</row>
    <row r="9">
      <c r="A9" s="7" t="n">
        <v>5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</row>
    <row r="10">
      <c r="A10" s="7" t="n">
        <v>6</v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</row>
    <row r="11">
      <c r="A11" s="7" t="n">
        <v>7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</row>
    <row r="12">
      <c r="A12" s="7" t="n">
        <v>8</v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</row>
    <row r="13">
      <c r="A13" s="7" t="n">
        <v>9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</row>
    <row r="14">
      <c r="A14" s="7" t="n">
        <v>10</v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</row>
    <row r="15">
      <c r="A15" s="7" t="n">
        <v>11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</row>
    <row r="16">
      <c r="A16" s="7" t="n">
        <v>12</v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</row>
    <row r="17">
      <c r="A17" s="7" t="n">
        <v>13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</row>
    <row r="18">
      <c r="A18" s="7" t="n">
        <v>14</v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</row>
    <row r="19">
      <c r="A19" s="7" t="n">
        <v>15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</row>
    <row r="20">
      <c r="A20" s="7" t="n">
        <v>16</v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</row>
    <row r="21">
      <c r="A21" s="7" t="n">
        <v>17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</row>
    <row r="22">
      <c r="A22" s="7" t="n">
        <v>18</v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</row>
    <row r="23">
      <c r="A23" s="7" t="n">
        <v>19</v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</row>
    <row r="24">
      <c r="A24" s="7" t="n">
        <v>20</v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</row>
    <row r="25">
      <c r="A25" s="7" t="n">
        <v>21</v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</row>
    <row r="26">
      <c r="A26" s="7" t="n">
        <v>22</v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</row>
    <row r="27">
      <c r="A27" s="7" t="n">
        <v>23</v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</row>
    <row r="28">
      <c r="A28" s="7" t="n">
        <v>24</v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</row>
    <row r="29">
      <c r="A29" s="7" t="n">
        <v>25</v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</row>
    <row r="31">
      <c r="B31" s="9" t="inlineStr">
        <is>
          <t>요약</t>
        </is>
      </c>
    </row>
    <row r="32">
      <c r="B32" s="10" t="inlineStr">
        <is>
          <t>등록 설비 수</t>
        </is>
      </c>
      <c r="D32" s="11">
        <f>COUNTA(B5:B29)</f>
        <v/>
      </c>
    </row>
    <row r="33">
      <c r="B33" s="10" t="inlineStr">
        <is>
          <t>FANUC 컨트롤러</t>
        </is>
      </c>
      <c r="D33" s="11">
        <f>COUNTIF(F5:F29,"*FANUC*")</f>
        <v/>
      </c>
    </row>
    <row r="34">
      <c r="B34" s="10" t="inlineStr">
        <is>
          <t>이더넷 연결 가능</t>
        </is>
      </c>
      <c r="D34" s="11">
        <f>COUNTIF(H5:H29,"이더넷(LAN)")</f>
        <v/>
      </c>
    </row>
    <row r="35">
      <c r="B35" s="10" t="inlineStr">
        <is>
          <t>종이·엑셀로 관리</t>
        </is>
      </c>
      <c r="D35" s="11">
        <f>COUNTIF(L5:L29,"종이 일보")+COUNTIF(L5:L29,"엑셀")</f>
        <v/>
      </c>
    </row>
    <row r="37">
      <c r="A37" s="12" t="inlineStr">
        <is>
          <t>※ 이 서식은 참고용입니다. 지원 자격·제출 서류·기준은 공고문과 운영기관 안내를 우선하세요.</t>
        </is>
      </c>
    </row>
    <row r="38">
      <c r="A38" s="13" t="inlineStr">
        <is>
          <t>제조업 지원사업 브리핑 · briefing.nimo.ai.kr · 무료 배포 서식</t>
        </is>
      </c>
    </row>
  </sheetData>
  <mergeCells count="4">
    <mergeCell ref="A38:M38"/>
    <mergeCell ref="A2:M2"/>
    <mergeCell ref="A1:M1"/>
    <mergeCell ref="A37:M37"/>
  </mergeCells>
  <dataValidations count="5">
    <dataValidation sqref="C5 C6 C7 C8 C9 C10 C11 C12 C13 C14 C15 C16 C17 C18 C19 C20 C21 C22 C23 C24 C25 C26 C27 C28 C29" showDropDown="0" showInputMessage="0" showErrorMessage="0" allowBlank="1" type="list">
      <formula1>"MCT(머시닝센터),CNC 선반,복합기,연삭기,방전가공기,와이어컷,프레스,사출기,용접기,로봇,PLC 라인,기타"</formula1>
    </dataValidation>
    <dataValidation sqref="H5 H6 H7 H8 H9 H10 H11 H12 H13 H14 H15 H16 H17 H18 H19 H20 H21 H22 H23 H24 H25 H26 H27 H28 H29" showDropDown="0" showInputMessage="0" showErrorMessage="0" allowBlank="1" type="list">
      <formula1>"이더넷(LAN),RS-232,USB,없음/모름"</formula1>
    </dataValidation>
    <dataValidation sqref="I5 I6 I7 I8 I9 I10 I11 I12 I13 I14 I15 I16 I17 I18 I19 I20 I21 I22 I23 I24 I25 I26 I27 I28 I29" showDropDown="0" showInputMessage="0" showErrorMessage="0" allowBlank="1" type="list">
      <formula1>"유선 가능,무선만,없음"</formula1>
    </dataValidation>
    <dataValidation sqref="J5 J6 J7 J8 J9 J10 J11 J12 J13 J14 J15 J16 J17 J18 J19 J20 J21 J22 J23 J24 J25 J26 J27 J28 J29" showDropDown="0" showInputMessage="0" showErrorMessage="0" allowBlank="1" type="list">
      <formula1>"주간,2교대,3교대,필요시"</formula1>
    </dataValidation>
    <dataValidation sqref="L5 L6 L7 L8 L9 L10 L11 L12 L13 L14 L15 L16 L17 L18 L19 L20 L21 L22 L23 L24 L25 L26 L27 L28 L29" showDropDown="0" showInputMessage="0" showErrorMessage="0" allowBlank="1" type="list">
      <formula1>"종이 일보,엑셀,기존 MES,없음"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/>
    <oddFooter>&amp;C&amp;8 &amp;P / &amp;N · 제조업 지원사업 브리핑 · briefing.nimo.ai.kr · 무료 배포 서식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2026-09-30T02:47:03Z</dcterms:created>
  <dcterms:modified xmlns:dcterms="http://purl.org/dc/terms/" xmlns:xsi="http://www.w3.org/2001/XMLSchema-instance" xsi:type="dcterms:W3CDTF">2026-09-30T02:47:03Z</dcterms:modified>
</cp:coreProperties>
</file>