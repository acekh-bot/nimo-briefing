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계산" sheetId="1" state="visible" r:id="rId1"/>
    <sheet xmlns:r="http://schemas.openxmlformats.org/officeDocument/2006/relationships" name="산식설명" sheetId="2" state="visible" r:id="rId2"/>
    <sheet xmlns:r="http://schemas.openxmlformats.org/officeDocument/2006/relationships" name="차트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"/>
    <numFmt numFmtId="165" formatCode="0.0%"/>
    <numFmt numFmtId="166" formatCode="0.0"/>
  </numFmts>
  <fonts count="13">
    <font>
      <name val="Calibri"/>
      <family val="2"/>
      <color theme="1"/>
      <sz val="11"/>
      <scheme val="minor"/>
    </font>
    <font>
      <name val="맑은 고딕"/>
      <b val="1"/>
      <color rgb="001C2529"/>
      <sz val="16"/>
    </font>
    <font>
      <name val="맑은 고딕"/>
      <color rgb="005B6B70"/>
      <sz val="9.5"/>
    </font>
    <font>
      <name val="맑은 고딕"/>
      <b val="1"/>
      <color rgb="00FFFFFF"/>
      <sz val="10"/>
    </font>
    <font>
      <name val="맑은 고딕"/>
      <b val="1"/>
      <color rgb="001C2529"/>
      <sz val="10"/>
    </font>
    <font>
      <name val="맑은 고딕"/>
      <b val="1"/>
      <color rgb="001C2529"/>
      <sz val="11"/>
    </font>
    <font>
      <name val="맑은 고딕"/>
      <color rgb="001C2529"/>
      <sz val="10"/>
    </font>
    <font>
      <name val="맑은 고딕"/>
      <color rgb="005B6B70"/>
      <sz val="9"/>
    </font>
    <font>
      <name val="맑은 고딕"/>
      <color rgb="002F8F5B"/>
      <sz val="9"/>
    </font>
    <font>
      <name val="맑은 고딕"/>
      <b val="1"/>
      <color rgb="001C2529"/>
      <sz val="15"/>
    </font>
    <font>
      <name val="맑은 고딕"/>
      <b val="1"/>
      <color rgb="002F8F5B"/>
      <sz val="11"/>
    </font>
    <font>
      <name val="맑은 고딕"/>
      <color rgb="001C2529"/>
      <sz val="11"/>
    </font>
    <font>
      <name val="맑은 고딕"/>
      <color rgb="00C43D2F"/>
      <sz val="11"/>
    </font>
  </fonts>
  <fills count="5">
    <fill>
      <patternFill/>
    </fill>
    <fill>
      <patternFill patternType="gray125"/>
    </fill>
    <fill>
      <patternFill patternType="solid">
        <fgColor rgb="001C2529"/>
      </patternFill>
    </fill>
    <fill>
      <patternFill patternType="solid">
        <fgColor rgb="00FFF7D6"/>
      </patternFill>
    </fill>
    <fill>
      <patternFill patternType="solid">
        <fgColor rgb="00E8F3EC"/>
      </patternFill>
    </fill>
  </fills>
  <borders count="2">
    <border>
      <left/>
      <right/>
      <top/>
      <bottom/>
      <diagonal/>
    </border>
    <border>
      <left style="thin">
        <color rgb="00C9D1CE"/>
      </left>
      <right style="thin">
        <color rgb="00C9D1CE"/>
      </right>
      <top style="thin">
        <color rgb="00C9D1CE"/>
      </top>
      <bottom style="thin">
        <color rgb="00C9D1C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4" fontId="6" fillId="3" borderId="1" applyAlignment="1" pivotButton="0" quotePrefix="0" xfId="0">
      <alignment vertical="center" wrapText="1"/>
    </xf>
    <xf numFmtId="165" fontId="5" fillId="4" borderId="1" applyAlignment="1" pivotButton="0" quotePrefix="0" xfId="0">
      <alignment vertical="center" wrapText="1"/>
    </xf>
    <xf numFmtId="9" fontId="6" fillId="3" borderId="1" applyAlignment="1" pivotButton="0" quotePrefix="0" xfId="0">
      <alignment vertical="center" wrapText="1"/>
    </xf>
    <xf numFmtId="10" fontId="5" fillId="4" borderId="1" applyAlignment="1" pivotButton="0" quotePrefix="0" xfId="0">
      <alignment vertical="center" wrapText="1"/>
    </xf>
    <xf numFmtId="166" fontId="5" fillId="4" borderId="1" applyAlignment="1" pivotButton="0" quotePrefix="0" xfId="0">
      <alignment vertical="center" wrapText="1"/>
    </xf>
    <xf numFmtId="3" fontId="5" fillId="4" borderId="1" applyAlignment="1" pivotButton="0" quotePrefix="0" xfId="0">
      <alignment vertical="center" wrapText="1"/>
    </xf>
    <xf numFmtId="2" fontId="5" fillId="4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지표별 개선율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'차트용'!B1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'차트용'!$A$2:$A$9</f>
            </numRef>
          </cat>
          <val>
            <numRef>
              <f>'차트용'!$B$2:$B$9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8" customWidth="1" min="5" max="5"/>
    <col width="13" customWidth="1" min="6" max="6"/>
    <col width="13" customWidth="1" min="7" max="7"/>
    <col width="11" customWidth="1" min="8" max="8"/>
  </cols>
  <sheetData>
    <row r="1" ht="28" customHeight="1">
      <c r="A1" s="1" t="inlineStr">
        <is>
          <t>사업계획서 성과지표(KPI) 계산기</t>
        </is>
      </c>
    </row>
    <row r="2" ht="32" customHeight="1">
      <c r="A2" s="2" t="inlineStr">
        <is>
          <t>노란 칸에 현재(기준) 값과 목표 값을 넣으면 지표와 개선율이 계산됩니다. 기준값은 추정보다 일정 기간 실제로 측정한 값이 설득력이 높습니다.</t>
        </is>
      </c>
    </row>
    <row r="4" ht="30" customHeight="1">
      <c r="A4" s="3" t="inlineStr">
        <is>
          <t>지표</t>
        </is>
      </c>
      <c r="B4" s="3" t="inlineStr">
        <is>
          <t>입력 항목</t>
        </is>
      </c>
      <c r="C4" s="3" t="inlineStr">
        <is>
          <t>현재(기준)</t>
        </is>
      </c>
      <c r="D4" s="3" t="inlineStr">
        <is>
          <t>목표</t>
        </is>
      </c>
      <c r="E4" s="3" t="inlineStr">
        <is>
          <t>단위</t>
        </is>
      </c>
      <c r="F4" s="3" t="inlineStr">
        <is>
          <t>현재 지표</t>
        </is>
      </c>
      <c r="G4" s="3" t="inlineStr">
        <is>
          <t>목표 지표</t>
        </is>
      </c>
      <c r="H4" s="3" t="inlineStr">
        <is>
          <t>개선율</t>
        </is>
      </c>
    </row>
    <row r="5">
      <c r="A5" s="4" t="inlineStr">
        <is>
          <t>설비 가동률</t>
        </is>
      </c>
      <c r="B5" s="5" t="inlineStr">
        <is>
          <t>계획 가동 시간</t>
        </is>
      </c>
      <c r="C5" s="6" t="n">
        <v>480</v>
      </c>
      <c r="D5" s="6" t="n">
        <v>480</v>
      </c>
      <c r="E5" s="5" t="inlineStr">
        <is>
          <t>분/일</t>
        </is>
      </c>
      <c r="F5" s="7">
        <f>(C5-C6)/C5</f>
        <v/>
      </c>
      <c r="G5" s="7">
        <f>(D5-D6)/D5</f>
        <v/>
      </c>
      <c r="H5" s="7">
        <f>IFERROR((G5-F5)/F5,0)</f>
        <v/>
      </c>
    </row>
    <row r="6">
      <c r="A6" s="5" t="n"/>
      <c r="B6" s="5" t="inlineStr">
        <is>
          <t>비가동 시간 (고장·셋업·대기)</t>
        </is>
      </c>
      <c r="C6" s="6" t="n">
        <v>150</v>
      </c>
      <c r="D6" s="6" t="n">
        <v>90</v>
      </c>
      <c r="E6" s="5" t="inlineStr">
        <is>
          <t>분/일</t>
        </is>
      </c>
      <c r="F6" s="5" t="n"/>
      <c r="G6" s="5" t="n"/>
      <c r="H6" s="5" t="n"/>
    </row>
    <row r="7">
      <c r="A7" s="4" t="inlineStr">
        <is>
          <t>OEE 종합설비효율</t>
        </is>
      </c>
      <c r="B7" s="5" t="inlineStr">
        <is>
          <t>가용률</t>
        </is>
      </c>
      <c r="C7" s="8" t="n">
        <v>0.6899999999999999</v>
      </c>
      <c r="D7" s="8" t="n">
        <v>0.8100000000000001</v>
      </c>
      <c r="E7" s="5" t="inlineStr">
        <is>
          <t>비율</t>
        </is>
      </c>
      <c r="F7" s="7">
        <f>C7*C8*C9</f>
        <v/>
      </c>
      <c r="G7" s="7">
        <f>D7*D8*D9</f>
        <v/>
      </c>
      <c r="H7" s="7">
        <f>IFERROR((G7-F7)/F7,0)</f>
        <v/>
      </c>
    </row>
    <row r="8">
      <c r="A8" s="5" t="n"/>
      <c r="B8" s="5" t="inlineStr">
        <is>
          <t>성능률</t>
        </is>
      </c>
      <c r="C8" s="8" t="n">
        <v>0.85</v>
      </c>
      <c r="D8" s="8" t="n">
        <v>0.9</v>
      </c>
      <c r="E8" s="5" t="inlineStr">
        <is>
          <t>비율</t>
        </is>
      </c>
      <c r="F8" s="5" t="n"/>
      <c r="G8" s="5" t="n"/>
      <c r="H8" s="5" t="n"/>
    </row>
    <row r="9">
      <c r="A9" s="5" t="n"/>
      <c r="B9" s="5" t="inlineStr">
        <is>
          <t>양품률</t>
        </is>
      </c>
      <c r="C9" s="8" t="n">
        <v>0.96</v>
      </c>
      <c r="D9" s="8" t="n">
        <v>0.98</v>
      </c>
      <c r="E9" s="5" t="inlineStr">
        <is>
          <t>비율</t>
        </is>
      </c>
      <c r="F9" s="5" t="n"/>
      <c r="G9" s="5" t="n"/>
      <c r="H9" s="5" t="n"/>
    </row>
    <row r="10">
      <c r="A10" s="4" t="inlineStr">
        <is>
          <t>불량률</t>
        </is>
      </c>
      <c r="B10" s="5" t="inlineStr">
        <is>
          <t>총 생산 수량</t>
        </is>
      </c>
      <c r="C10" s="6" t="n">
        <v>10000</v>
      </c>
      <c r="D10" s="6" t="n">
        <v>10000</v>
      </c>
      <c r="E10" s="5" t="inlineStr">
        <is>
          <t>개/월</t>
        </is>
      </c>
      <c r="F10" s="9">
        <f>C11/C10</f>
        <v/>
      </c>
      <c r="G10" s="9">
        <f>D11/D10</f>
        <v/>
      </c>
      <c r="H10" s="7">
        <f>IFERROR((F10-G10)/F10,0)</f>
        <v/>
      </c>
    </row>
    <row r="11">
      <c r="A11" s="5" t="n"/>
      <c r="B11" s="5" t="inlineStr">
        <is>
          <t>불량 수량</t>
        </is>
      </c>
      <c r="C11" s="6" t="n">
        <v>400</v>
      </c>
      <c r="D11" s="6" t="n">
        <v>200</v>
      </c>
      <c r="E11" s="5" t="inlineStr">
        <is>
          <t>개/월</t>
        </is>
      </c>
      <c r="F11" s="5" t="n"/>
      <c r="G11" s="5" t="n"/>
      <c r="H11" s="5" t="n"/>
    </row>
    <row r="12">
      <c r="A12" s="4" t="inlineStr">
        <is>
          <t>납기 준수율</t>
        </is>
      </c>
      <c r="B12" s="5" t="inlineStr">
        <is>
          <t>총 납품 건수</t>
        </is>
      </c>
      <c r="C12" s="6" t="n">
        <v>120</v>
      </c>
      <c r="D12" s="6" t="n">
        <v>120</v>
      </c>
      <c r="E12" s="5" t="inlineStr">
        <is>
          <t>건/월</t>
        </is>
      </c>
      <c r="F12" s="7">
        <f>C13/C12</f>
        <v/>
      </c>
      <c r="G12" s="7">
        <f>D13/D12</f>
        <v/>
      </c>
      <c r="H12" s="7">
        <f>IFERROR((G12-F12)/F12,0)</f>
        <v/>
      </c>
    </row>
    <row r="13">
      <c r="A13" s="5" t="n"/>
      <c r="B13" s="5" t="inlineStr">
        <is>
          <t>납기 내 납품 건수</t>
        </is>
      </c>
      <c r="C13" s="6" t="n">
        <v>102</v>
      </c>
      <c r="D13" s="6" t="n">
        <v>114</v>
      </c>
      <c r="E13" s="5" t="inlineStr">
        <is>
          <t>건/월</t>
        </is>
      </c>
      <c r="F13" s="5" t="n"/>
      <c r="G13" s="5" t="n"/>
      <c r="H13" s="5" t="n"/>
    </row>
    <row r="14">
      <c r="A14" s="4" t="inlineStr">
        <is>
          <t>제조 리드타임</t>
        </is>
      </c>
      <c r="B14" s="5" t="inlineStr">
        <is>
          <t>수주~납품 평균 일수</t>
        </is>
      </c>
      <c r="C14" s="6" t="n">
        <v>14</v>
      </c>
      <c r="D14" s="6" t="n">
        <v>10</v>
      </c>
      <c r="E14" s="5" t="inlineStr">
        <is>
          <t>일</t>
        </is>
      </c>
      <c r="F14" s="10">
        <f>C14</f>
        <v/>
      </c>
      <c r="G14" s="10">
        <f>D14</f>
        <v/>
      </c>
      <c r="H14" s="7">
        <f>IFERROR((F14-G14)/F14,0)</f>
        <v/>
      </c>
    </row>
    <row r="15">
      <c r="A15" s="4" t="inlineStr">
        <is>
          <t>인당 생산성</t>
        </is>
      </c>
      <c r="B15" s="5" t="inlineStr">
        <is>
          <t>월 생산 수량</t>
        </is>
      </c>
      <c r="C15" s="6" t="n">
        <v>10000</v>
      </c>
      <c r="D15" s="6" t="n">
        <v>11500</v>
      </c>
      <c r="E15" s="5" t="inlineStr">
        <is>
          <t>개/월</t>
        </is>
      </c>
      <c r="F15" s="11">
        <f>C15/C16</f>
        <v/>
      </c>
      <c r="G15" s="11">
        <f>D15/D16</f>
        <v/>
      </c>
      <c r="H15" s="7">
        <f>IFERROR((G15-F15)/F15,0)</f>
        <v/>
      </c>
    </row>
    <row r="16">
      <c r="A16" s="5" t="n"/>
      <c r="B16" s="5" t="inlineStr">
        <is>
          <t>생산 인원</t>
        </is>
      </c>
      <c r="C16" s="6" t="n">
        <v>12</v>
      </c>
      <c r="D16" s="6" t="n">
        <v>12</v>
      </c>
      <c r="E16" s="5" t="inlineStr">
        <is>
          <t>명</t>
        </is>
      </c>
      <c r="F16" s="5" t="n"/>
      <c r="G16" s="5" t="n"/>
      <c r="H16" s="5" t="n"/>
    </row>
    <row r="17">
      <c r="A17" s="4" t="inlineStr">
        <is>
          <t>에너지 원단위</t>
        </is>
      </c>
      <c r="B17" s="5" t="inlineStr">
        <is>
          <t>월 전력 사용량</t>
        </is>
      </c>
      <c r="C17" s="6" t="n">
        <v>42000</v>
      </c>
      <c r="D17" s="6" t="n">
        <v>38000</v>
      </c>
      <c r="E17" s="5" t="inlineStr">
        <is>
          <t>kWh</t>
        </is>
      </c>
      <c r="F17" s="12">
        <f>C17/C18</f>
        <v/>
      </c>
      <c r="G17" s="12">
        <f>D17/D18</f>
        <v/>
      </c>
      <c r="H17" s="7">
        <f>IFERROR((F17-G17)/F17,0)</f>
        <v/>
      </c>
    </row>
    <row r="18">
      <c r="A18" s="5" t="n"/>
      <c r="B18" s="5" t="inlineStr">
        <is>
          <t>월 생산 수량</t>
        </is>
      </c>
      <c r="C18" s="6" t="n">
        <v>10000</v>
      </c>
      <c r="D18" s="6" t="n">
        <v>10000</v>
      </c>
      <c r="E18" s="5" t="inlineStr">
        <is>
          <t>개</t>
        </is>
      </c>
      <c r="F18" s="5" t="n"/>
      <c r="G18" s="5" t="n"/>
      <c r="H18" s="5" t="n"/>
    </row>
    <row r="19">
      <c r="A19" s="4" t="inlineStr">
        <is>
          <t>고장 간 평균시간 (MTBF)</t>
        </is>
      </c>
      <c r="B19" s="5" t="inlineStr">
        <is>
          <t>총 가동 시간</t>
        </is>
      </c>
      <c r="C19" s="6" t="n">
        <v>400</v>
      </c>
      <c r="D19" s="6" t="n">
        <v>400</v>
      </c>
      <c r="E19" s="5" t="inlineStr">
        <is>
          <t>시간/월</t>
        </is>
      </c>
      <c r="F19" s="10">
        <f>C19/C20</f>
        <v/>
      </c>
      <c r="G19" s="10">
        <f>D19/D20</f>
        <v/>
      </c>
      <c r="H19" s="7">
        <f>IFERROR((G19-F19)/F19,0)</f>
        <v/>
      </c>
    </row>
    <row r="20">
      <c r="A20" s="5" t="n"/>
      <c r="B20" s="5" t="inlineStr">
        <is>
          <t>고장 횟수</t>
        </is>
      </c>
      <c r="C20" s="6" t="n">
        <v>8</v>
      </c>
      <c r="D20" s="6" t="n">
        <v>4</v>
      </c>
      <c r="E20" s="5" t="inlineStr">
        <is>
          <t>회/월</t>
        </is>
      </c>
      <c r="F20" s="5" t="n"/>
      <c r="G20" s="5" t="n"/>
      <c r="H20" s="5" t="n"/>
    </row>
    <row r="22">
      <c r="A22" s="13" t="inlineStr">
        <is>
          <t>개선율: 높을수록 좋은 지표는 (목표-현재)/현재, 낮을수록 좋은 지표(불량률·리드타임·에너지 원단위)는 (현재-목표)/현재로 계산합니다.</t>
        </is>
      </c>
    </row>
    <row r="23">
      <c r="A23" s="13" t="inlineStr">
        <is>
          <t>※ 이 서식은 참고용입니다. 지원 자격·제출 서류·기준은 공고문과 운영기관 안내를 우선하세요.</t>
        </is>
      </c>
    </row>
    <row r="24">
      <c r="A24" s="14" t="inlineStr">
        <is>
          <t>제조업 지원사업 브리핑 · briefing.nimo.ai.kr · 무료 배포 서식</t>
        </is>
      </c>
    </row>
  </sheetData>
  <mergeCells count="37">
    <mergeCell ref="F15:F16"/>
    <mergeCell ref="G17:G18"/>
    <mergeCell ref="H7:H9"/>
    <mergeCell ref="A24:H24"/>
    <mergeCell ref="F12:F13"/>
    <mergeCell ref="A1:H1"/>
    <mergeCell ref="F5:F6"/>
    <mergeCell ref="G19:G20"/>
    <mergeCell ref="F14"/>
    <mergeCell ref="G10:G11"/>
    <mergeCell ref="H14"/>
    <mergeCell ref="A12:A13"/>
    <mergeCell ref="H17:H18"/>
    <mergeCell ref="F17:F18"/>
    <mergeCell ref="G15:G16"/>
    <mergeCell ref="H19:H20"/>
    <mergeCell ref="A5:A6"/>
    <mergeCell ref="G5:G6"/>
    <mergeCell ref="A17:A18"/>
    <mergeCell ref="F7:F9"/>
    <mergeCell ref="F10:F11"/>
    <mergeCell ref="A2:H2"/>
    <mergeCell ref="H12:H13"/>
    <mergeCell ref="A10:A11"/>
    <mergeCell ref="H15:H16"/>
    <mergeCell ref="A23:H23"/>
    <mergeCell ref="A19:A20"/>
    <mergeCell ref="A22:H22"/>
    <mergeCell ref="H5:H6"/>
    <mergeCell ref="A7:A9"/>
    <mergeCell ref="G7:G9"/>
    <mergeCell ref="F19:F20"/>
    <mergeCell ref="G12:G13"/>
    <mergeCell ref="A15:A16"/>
    <mergeCell ref="A14"/>
    <mergeCell ref="G14"/>
    <mergeCell ref="H10:H11"/>
  </mergeCells>
  <printOptions horizontalCentered="1"/>
  <pageMargins left="0.4" right="0.4" top="1" bottom="1" header="0.5" footer="0.5"/>
  <pageSetup orientation="portrait" paperSize="9" fitToHeight="0" fitToWidth="1"/>
  <headerFooter>
    <oddHeader/>
    <oddFooter>&amp;C&amp;8 &amp;P / &amp;N · 제조업 지원사업 브리핑 · briefing.nimo.ai.kr · 무료 배포 서식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5" t="inlineStr">
        <is>
          <t>산식설명</t>
        </is>
      </c>
    </row>
    <row r="3">
      <c r="A3" s="16" t="inlineStr">
        <is>
          <t>지표별 산식과 측정 요령</t>
        </is>
      </c>
    </row>
    <row r="4">
      <c r="A4" s="17" t="inlineStr">
        <is>
          <t>설비 가동률 = (계획 가동 시간 − 비가동 시간) ÷ 계획 가동 시간. 비가동에는 고장, 셋업(준비), 자재 대기 등을 포함하고, 무엇을 넣었는지 계획서에 밝힙니다.</t>
        </is>
      </c>
    </row>
    <row r="5">
      <c r="A5" s="17" t="inlineStr">
        <is>
          <t>OEE = 가용률 × 성능률 × 양품률. 성능률은 (이론 사이클타임 × 생산 수량) ÷ 실제 가동 시간으로 구합니다.</t>
        </is>
      </c>
    </row>
    <row r="6">
      <c r="A6" s="17" t="inlineStr">
        <is>
          <t>불량률 = 불량 수량 ÷ 총 생산 수량. 공정 내 불량과 고객 반품을 나눠 적으면 더 명확합니다.</t>
        </is>
      </c>
    </row>
    <row r="7">
      <c r="A7" s="17" t="inlineStr">
        <is>
          <t>납기 준수율 = 납기 내 납품 건수 ÷ 총 납품 건수.</t>
        </is>
      </c>
    </row>
    <row r="8">
      <c r="A8" s="17" t="inlineStr">
        <is>
          <t>제조 리드타임 = 수주일부터 납품일까지 평균 일수.</t>
        </is>
      </c>
    </row>
    <row r="9">
      <c r="A9" s="17" t="inlineStr">
        <is>
          <t>인당 생산성 = 생산 수량 ÷ 생산 인원 (기간을 같게 맞춥니다).</t>
        </is>
      </c>
    </row>
    <row r="10">
      <c r="A10" s="17" t="inlineStr">
        <is>
          <t>에너지 원단위 = 전력 사용량 ÷ 생산 수량.</t>
        </is>
      </c>
    </row>
    <row r="11">
      <c r="A11" s="17" t="inlineStr">
        <is>
          <t>MTBF(고장 간 평균시간) = 총 가동 시간 ÷ 고장 횟수.</t>
        </is>
      </c>
    </row>
    <row r="12">
      <c r="A12" s="16" t="inlineStr">
        <is>
          <t>기준값 잡는 법</t>
        </is>
      </c>
    </row>
    <row r="13">
      <c r="A13" s="17" t="inlineStr">
        <is>
          <t>· 최소 2~4주 이상 같은 방식으로 측정한 값을 기준값으로 쓰고, 측정 기간과 방법을 계획서에 함께 적습니다.</t>
        </is>
      </c>
    </row>
    <row r="14">
      <c r="A14" s="17" t="inlineStr">
        <is>
          <t>· 목표값은 도입할 설비·시스템이 어떤 손실을 줄이는지와 연결해 근거를 댑니다. 근거 없는 큰 목표는 오히려 감점 요인이 됩니다.</t>
        </is>
      </c>
    </row>
    <row r="15">
      <c r="A15" s="18" t="inlineStr">
        <is>
          <t>· 지표와 산식은 공고문·평가 지침에서 요구하는 형태가 있으면 그것을 따릅니다.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개선율</t>
        </is>
      </c>
    </row>
    <row r="2">
      <c r="A2" t="inlineStr">
        <is>
          <t>설비 가동률</t>
        </is>
      </c>
      <c r="B2" s="19">
        <f>KPI계산!H5</f>
        <v/>
      </c>
    </row>
    <row r="3">
      <c r="A3" t="inlineStr">
        <is>
          <t>OEE 종합설비효율</t>
        </is>
      </c>
      <c r="B3" s="19">
        <f>KPI계산!H7</f>
        <v/>
      </c>
    </row>
    <row r="4">
      <c r="A4" t="inlineStr">
        <is>
          <t>불량률</t>
        </is>
      </c>
      <c r="B4" s="19">
        <f>KPI계산!H10</f>
        <v/>
      </c>
    </row>
    <row r="5">
      <c r="A5" t="inlineStr">
        <is>
          <t>납기 준수율</t>
        </is>
      </c>
      <c r="B5" s="19">
        <f>KPI계산!H12</f>
        <v/>
      </c>
    </row>
    <row r="6">
      <c r="A6" t="inlineStr">
        <is>
          <t>제조 리드타임</t>
        </is>
      </c>
      <c r="B6" s="19">
        <f>KPI계산!H14</f>
        <v/>
      </c>
    </row>
    <row r="7">
      <c r="A7" t="inlineStr">
        <is>
          <t>인당 생산성</t>
        </is>
      </c>
      <c r="B7" s="19">
        <f>KPI계산!H15</f>
        <v/>
      </c>
    </row>
    <row r="8">
      <c r="A8" t="inlineStr">
        <is>
          <t>에너지 원단위</t>
        </is>
      </c>
      <c r="B8" s="19">
        <f>KPI계산!H17</f>
        <v/>
      </c>
    </row>
    <row r="9">
      <c r="A9" t="inlineStr">
        <is>
          <t>고장 간 평균시간 (MTBF)</t>
        </is>
      </c>
      <c r="B9" s="19">
        <f>KPI계산!H19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2026-09-30T02:47:03Z</dcterms:created>
  <dcterms:modified xmlns:dcterms="http://purl.org/dc/terms/" xmlns:xsi="http://www.w3.org/2001/XMLSchema-instance" xsi:type="dcterms:W3CDTF">2026-09-30T02:47:03Z</dcterms:modified>
</cp:coreProperties>
</file>